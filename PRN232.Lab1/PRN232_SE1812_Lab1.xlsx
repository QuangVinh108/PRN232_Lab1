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earning\Ki_8\PRN232\Lab_1\PRN232.Lab1\"/>
    </mc:Choice>
  </mc:AlternateContent>
  <bookViews>
    <workbookView xWindow="0" yWindow="0" windowWidth="23040" windowHeight="9252" activeTab="2"/>
  </bookViews>
  <sheets>
    <sheet name="TongHop" sheetId="1" r:id="rId1"/>
    <sheet name="Template" sheetId="2" r:id="rId2"/>
    <sheet name="SE170001_NguyenVanA" sheetId="3" r:id="rId3"/>
  </sheets>
  <calcPr calcId="152511"/>
</workbook>
</file>

<file path=xl/calcChain.xml><?xml version="1.0" encoding="utf-8"?>
<calcChain xmlns="http://schemas.openxmlformats.org/spreadsheetml/2006/main">
  <c r="D21" i="3" l="1"/>
  <c r="E21" i="3" s="1"/>
  <c r="D21" i="2"/>
  <c r="E21" i="2" s="1"/>
  <c r="J44" i="1"/>
  <c r="A44" i="1"/>
  <c r="J43" i="1"/>
  <c r="A43" i="1"/>
  <c r="J42" i="1"/>
  <c r="A42" i="1"/>
  <c r="J41" i="1"/>
  <c r="A41" i="1"/>
  <c r="J40" i="1"/>
  <c r="A40" i="1"/>
  <c r="J39" i="1"/>
  <c r="A39" i="1"/>
  <c r="J38" i="1"/>
  <c r="A38" i="1"/>
  <c r="J37" i="1"/>
  <c r="A37" i="1"/>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J10" i="1"/>
  <c r="A10" i="1"/>
  <c r="J9" i="1"/>
  <c r="A9" i="1"/>
  <c r="J8" i="1"/>
  <c r="A8" i="1"/>
  <c r="J7" i="1"/>
  <c r="A7" i="1"/>
  <c r="J6" i="1"/>
  <c r="A6" i="1"/>
  <c r="A5" i="1"/>
  <c r="N2" i="1"/>
  <c r="D42" i="1"/>
  <c r="C42" i="1"/>
  <c r="C39" i="1"/>
  <c r="C36" i="1"/>
  <c r="C33" i="1"/>
  <c r="C30" i="1"/>
  <c r="C27" i="1"/>
  <c r="C24" i="1"/>
  <c r="C21" i="1"/>
  <c r="C18" i="1"/>
  <c r="C15" i="1"/>
  <c r="C12" i="1"/>
  <c r="C9" i="1"/>
  <c r="D6" i="1"/>
  <c r="B42" i="1"/>
  <c r="G40" i="1"/>
  <c r="B39" i="1"/>
  <c r="G37" i="1"/>
  <c r="B36" i="1"/>
  <c r="G34" i="1"/>
  <c r="B33" i="1"/>
  <c r="G31" i="1"/>
  <c r="B30" i="1"/>
  <c r="G28" i="1"/>
  <c r="B27" i="1"/>
  <c r="G25" i="1"/>
  <c r="B24" i="1"/>
  <c r="G22" i="1"/>
  <c r="B21" i="1"/>
  <c r="G19" i="1"/>
  <c r="B18" i="1"/>
  <c r="G16" i="1"/>
  <c r="B15" i="1"/>
  <c r="G13" i="1"/>
  <c r="B12" i="1"/>
  <c r="G10" i="1"/>
  <c r="B9" i="1"/>
  <c r="G7" i="1"/>
  <c r="C6" i="1"/>
  <c r="F40" i="1"/>
  <c r="F37" i="1"/>
  <c r="F34" i="1"/>
  <c r="F31" i="1"/>
  <c r="F28" i="1"/>
  <c r="F25" i="1"/>
  <c r="F22" i="1"/>
  <c r="F19" i="1"/>
  <c r="F16" i="1"/>
  <c r="F13" i="1"/>
  <c r="F10" i="1"/>
  <c r="B6" i="1"/>
  <c r="D40" i="1"/>
  <c r="D37" i="1"/>
  <c r="D34" i="1"/>
  <c r="D31" i="1"/>
  <c r="D28" i="1"/>
  <c r="D25" i="1"/>
  <c r="D22" i="1"/>
  <c r="D19" i="1"/>
  <c r="D16" i="1"/>
  <c r="D13" i="1"/>
  <c r="C28" i="1"/>
  <c r="C13" i="1"/>
  <c r="G26" i="1"/>
  <c r="G20" i="1"/>
  <c r="G14" i="1"/>
  <c r="B7" i="1"/>
  <c r="F29" i="1"/>
  <c r="F20" i="1"/>
  <c r="D20" i="1"/>
  <c r="G43" i="1"/>
  <c r="D7" i="1"/>
  <c r="C16" i="1"/>
  <c r="C10" i="1"/>
  <c r="B34" i="1"/>
  <c r="G17" i="1"/>
  <c r="F32" i="1"/>
  <c r="F5" i="1"/>
  <c r="F43" i="1"/>
  <c r="B25" i="1"/>
  <c r="G8" i="1"/>
  <c r="F26" i="1"/>
  <c r="D43" i="1"/>
  <c r="C19" i="1"/>
  <c r="G32" i="1"/>
  <c r="B19" i="1"/>
  <c r="B10" i="1"/>
  <c r="F35" i="1"/>
  <c r="D17" i="1"/>
  <c r="D8" i="1"/>
  <c r="C43" i="1"/>
  <c r="C40" i="1"/>
  <c r="C37" i="1"/>
  <c r="C34" i="1"/>
  <c r="C31" i="1"/>
  <c r="C22" i="1"/>
  <c r="C7" i="1"/>
  <c r="B31" i="1"/>
  <c r="G23" i="1"/>
  <c r="G11" i="1"/>
  <c r="F14" i="1"/>
  <c r="G44" i="1"/>
  <c r="B43" i="1"/>
  <c r="G41" i="1"/>
  <c r="B40" i="1"/>
  <c r="G38" i="1"/>
  <c r="B37" i="1"/>
  <c r="G35" i="1"/>
  <c r="B28" i="1"/>
  <c r="B22" i="1"/>
  <c r="B13" i="1"/>
  <c r="D14" i="1"/>
  <c r="G5" i="1"/>
  <c r="F44" i="1"/>
  <c r="F41" i="1"/>
  <c r="F38" i="1"/>
  <c r="F23" i="1"/>
  <c r="F17" i="1"/>
  <c r="F8" i="1"/>
  <c r="D11" i="1"/>
  <c r="D44" i="1"/>
  <c r="D41" i="1"/>
  <c r="D38" i="1"/>
  <c r="D35" i="1"/>
  <c r="D32" i="1"/>
  <c r="D29" i="1"/>
  <c r="D26" i="1"/>
  <c r="D23" i="1"/>
  <c r="C44" i="1"/>
  <c r="C41" i="1"/>
  <c r="C38" i="1"/>
  <c r="C35" i="1"/>
  <c r="C32" i="1"/>
  <c r="C29" i="1"/>
  <c r="C26" i="1"/>
  <c r="C23" i="1"/>
  <c r="C20" i="1"/>
  <c r="C17" i="1"/>
  <c r="C14" i="1"/>
  <c r="C11" i="1"/>
  <c r="C8" i="1"/>
  <c r="B44" i="1"/>
  <c r="G42" i="1"/>
  <c r="B41" i="1"/>
  <c r="G39" i="1"/>
  <c r="B38" i="1"/>
  <c r="G36" i="1"/>
  <c r="B35" i="1"/>
  <c r="G33" i="1"/>
  <c r="B32" i="1"/>
  <c r="G30" i="1"/>
  <c r="B29" i="1"/>
  <c r="G27" i="1"/>
  <c r="B26" i="1"/>
  <c r="G24" i="1"/>
  <c r="B23" i="1"/>
  <c r="G21" i="1"/>
  <c r="B20" i="1"/>
  <c r="G18" i="1"/>
  <c r="B17" i="1"/>
  <c r="G15" i="1"/>
  <c r="B14" i="1"/>
  <c r="G12" i="1"/>
  <c r="B11" i="1"/>
  <c r="G9" i="1"/>
  <c r="B8" i="1"/>
  <c r="D5" i="1"/>
  <c r="F39" i="1"/>
  <c r="F36" i="1"/>
  <c r="F33" i="1"/>
  <c r="F30" i="1"/>
  <c r="F27" i="1"/>
  <c r="F24" i="1"/>
  <c r="F21" i="1"/>
  <c r="F18" i="1"/>
  <c r="F15" i="1"/>
  <c r="F12" i="1"/>
  <c r="F9" i="1"/>
  <c r="G6" i="1"/>
  <c r="C5" i="1"/>
  <c r="D39" i="1"/>
  <c r="D36" i="1"/>
  <c r="D33" i="1"/>
  <c r="D30" i="1"/>
  <c r="D27" i="1"/>
  <c r="D24" i="1"/>
  <c r="D21" i="1"/>
  <c r="D18" i="1"/>
  <c r="D15" i="1"/>
  <c r="D12" i="1"/>
  <c r="D9" i="1"/>
  <c r="F6" i="1"/>
  <c r="B5" i="1"/>
  <c r="F7" i="1"/>
  <c r="F42" i="1"/>
  <c r="D10" i="1"/>
  <c r="C25" i="1"/>
  <c r="G29" i="1"/>
  <c r="B16" i="1"/>
  <c r="F11" i="1"/>
  <c r="I29" i="1" l="1"/>
  <c r="I6" i="1"/>
  <c r="I9" i="1"/>
  <c r="I12" i="1"/>
  <c r="I15" i="1"/>
  <c r="I18" i="1"/>
  <c r="I21" i="1"/>
  <c r="I24" i="1"/>
  <c r="I27" i="1"/>
  <c r="I30" i="1"/>
  <c r="I33" i="1"/>
  <c r="I36" i="1"/>
  <c r="I39" i="1"/>
  <c r="I42" i="1"/>
  <c r="N4" i="1"/>
  <c r="N5" i="1"/>
  <c r="I5" i="1"/>
  <c r="N6" i="1"/>
  <c r="N3" i="1"/>
  <c r="J5" i="1"/>
  <c r="I35" i="1"/>
  <c r="I38" i="1"/>
  <c r="I41" i="1"/>
  <c r="I44" i="1"/>
  <c r="I11" i="1"/>
  <c r="I23" i="1"/>
  <c r="I32" i="1"/>
  <c r="I8" i="1"/>
  <c r="I17" i="1"/>
  <c r="I43" i="1"/>
  <c r="I14" i="1"/>
  <c r="I20" i="1"/>
  <c r="I26" i="1"/>
  <c r="I7" i="1"/>
  <c r="I10" i="1"/>
  <c r="I13" i="1"/>
  <c r="I16" i="1"/>
  <c r="I19" i="1"/>
  <c r="I22" i="1"/>
  <c r="I25" i="1"/>
  <c r="I28" i="1"/>
  <c r="I31" i="1"/>
  <c r="I34" i="1"/>
  <c r="I37" i="1"/>
  <c r="I40" i="1"/>
</calcChain>
</file>

<file path=xl/sharedStrings.xml><?xml version="1.0" encoding="utf-8"?>
<sst xmlns="http://schemas.openxmlformats.org/spreadsheetml/2006/main" count="90" uniqueCount="61">
  <si>
    <t>TỔNG HỢP PHIẾU TỰ ĐÁNH GIÁ CÁ NHÂN - PRN232 LAB 1</t>
  </si>
  <si>
    <t>Tóm tắt nhanh</t>
  </si>
  <si>
    <t>Cách dùng: Mỗi sinh viên copy sheet Template_CaNhan, đổi tên sheet theo format StudentCode_StudentName, sau đó điền đúng tên sheet vào cột G để file tổng hợp tự lấy dữ liệu. Nếu xuất file riêng, đặt filename theo format [StudentCode]_[StudentName].xlsx.</t>
  </si>
  <si>
    <t>Số SV đã khai báo</t>
  </si>
  <si>
    <t>Lưu ý: Tên sheet trong cột G phải khớp 100% với tên tab cá nhân. Không dùng ký tự [] trong tên tab Excel; chỉ dùng StudentCode_StudentName.</t>
  </si>
  <si>
    <t>Số SV đã có điểm</t>
  </si>
  <si>
    <t>STT</t>
  </si>
  <si>
    <t>MSSV</t>
  </si>
  <si>
    <t>Họ và tên</t>
  </si>
  <si>
    <t>GitHub</t>
  </si>
  <si>
    <t>Tên sheet cá nhân</t>
  </si>
  <si>
    <t>Ngày nộp</t>
  </si>
  <si>
    <t>Điểm tự chấm /10</t>
  </si>
  <si>
    <t>GV review /10</t>
  </si>
  <si>
    <t>Điểm cuối /10</t>
  </si>
  <si>
    <t>Trạng thái</t>
  </si>
  <si>
    <t>Ghi chú GV</t>
  </si>
  <si>
    <t>Điểm TB tự chấm</t>
  </si>
  <si>
    <t>SE170001_NguyenVanA</t>
  </si>
  <si>
    <t>Điểm cao nhất</t>
  </si>
  <si>
    <t>Điểm thấp nhất</t>
  </si>
  <si>
    <t>PHIẾU TỰ ĐÁNH GIÁ CÁ NHÂN - PRN232 LAB 1</t>
  </si>
  <si>
    <t>Name</t>
  </si>
  <si>
    <t>Student Code</t>
  </si>
  <si>
    <t>Date submitted</t>
  </si>
  <si>
    <t>2026-05-20</t>
  </si>
  <si>
    <t>Tên sheet cá nhân: StudentCode_StudentName  |  Nếu xuất file riêng: [StudentCode]_[StudentName].xlsx</t>
  </si>
  <si>
    <t>Checklist</t>
  </si>
  <si>
    <t>Điểm tối đa</t>
  </si>
  <si>
    <t>Điểm tự chấm</t>
  </si>
  <si>
    <t>Evidence / Link</t>
  </si>
  <si>
    <t>Ghi chú</t>
  </si>
  <si>
    <t>3-layer Architecture
- API / Services / Repositories tách rõ; Controller không chứa business logic; Repository không chứa business logic.</t>
  </si>
  <si>
    <t>Project Naming Convention
- Đúng format PRN232.[ProjectName].API / Services / Repositories.</t>
  </si>
  <si>
    <t>DB Schema &amp; Seed Data
- Đủ bảng Semester, Course, Subject, Student, Enrollment; seed tối thiểu 5 semesters, 50 students, 10 subjects, 20 courses, 500 enrollments.</t>
  </si>
  <si>
    <t>4 Model Types
- Có Entity, Business, Request, Response model; không trả Entity trực tiếp; không dùng Request/Response trong Repository.</t>
  </si>
  <si>
    <t>RESTful Endpoint Naming
- Endpoint resource-based, plural nouns; tránh get/create trong URL.</t>
  </si>
  <si>
    <t>GET by ID
- Trả đủ related data khi cần, tránh circular reference, trả 404 nếu không tồn tại.</t>
  </si>
  <si>
    <t>List API Capabilities
- List API hỗ trợ search/filter, sort, paging, fields selection, expand related resources.</t>
  </si>
  <si>
    <t>Pagination Metadata
- Response có page, pageSize, totalItems, totalPages.</t>
  </si>
  <si>
    <t>Response Format &amp; HTTP Status
- Format consistent success/message/data/errors; status 200/201/400/404/500 phù hợp.</t>
  </si>
  <si>
    <t>Docker Deployment
- Database chạy Docker Desktop; API chạy container; có Dockerfile &amp; docker-compose.yml; demo docker compose chạy được.</t>
  </si>
  <si>
    <t>Swagger/OpenAPI
- Có Swagger, listing endpoint, test API, request/response docs, HTTP status code docs.</t>
  </si>
  <si>
    <t>Code Quality
- Code clean, naming rõ, ít duplicate, xử lý lỗi cơ bản, cấu trúc dễ đọc và bảo trì.</t>
  </si>
  <si>
    <t>TỔNG ĐIỂM TỰ CHẤM / 10</t>
  </si>
  <si>
    <t>Hướng dẫn: Sinh viên tự nhập điểm ở cột D, không vượt quá điểm tối đa ở cột C. Điền evidence/link rõ ràng để GV đối chiếu khi chấm.</t>
  </si>
  <si>
    <t>Nguyen Van A</t>
  </si>
  <si>
    <t>SE170001</t>
  </si>
  <si>
    <t>github.com/nguyenvana</t>
  </si>
  <si>
    <t>Kiến trúc 3 lớp (API, Services, Repositories) được phân chia rõ ràng; Controller chỉ điều phối và không chứa logic nghiệp vụ; Service xử lý business logic; Repository tương tác DB.</t>
  </si>
  <si>
    <t>Các project được đặt tên đúng chuẩn: PRN232.Lab1.API, PRN232.Lab1.Services, PRN232.Lab1.Repositories.</t>
  </si>
  <si>
    <t>Cơ sở dữ liệu SQL Server có đủ 5 bảng (Semester, Course, Subject, Student, Enrollment) và đã được seed đủ dữ liệu mẫu (5 semesters, 10 subjects, 20 courses, 50 students, 500 enrollments) chạy trực tiếp trên SQL Server container.</t>
  </si>
  <si>
    <t>Triển khai đầy đủ 4 loại Model riêng biệt: DB Entities, BusinessModels, RequestModels (StudentRequest, QueryParameters), và ResponseModels (StudentResponse, ApiResponse) tránh rò rỉ dữ liệu.</t>
  </si>
  <si>
    <t>Định nghĩa các endpoints hoàn toàn chuẩn RESTful dạng danh từ số nhiều (như /api/students, /api/courses), không chứa các động từ như get/create/delete trên URL.</t>
  </si>
  <si>
    <t>Endpoint GET /api/students/{id} trả về đầy đủ thông tin chi tiết của đối tượng, loại bỏ tham chiếu vòng (circular reference), trả về HTTP 404 NotFound kèm ApiResponse chuẩn nếu ID không tồn tại.</t>
  </si>
  <si>
    <t>API List hỗ trợ tìm kiếm (Search), sắp xếp động (Sort), phân trang (Page/Size), lọc dữ liệu, mở rộng quan hệ (Expand) và lựa chọn trường động (Fields selection qua ExpandoObject) hoạt động mượt mà.</t>
  </si>
  <si>
    <t>Phản hồi phân trang chứa đầy đủ siêu dữ liệu (metadata) bao gồm page, pageSize, totalItems và totalPages nằm trong đối tượng PaginationMetadata của ApiResponse.</t>
  </si>
  <si>
    <t>Sử dụng ApiResponse&lt;T&gt; đồng nhất (gồm data, message, errors, statusCode) kết hợp với các mã HTTP Status chính xác (200 OK, 201 Created với CreatedAtAction, 204 NoContent, 400 BadRequest, 404 NotFound).</t>
  </si>
  <si>
    <t>Hệ thống được đóng gói hoàn toàn bằng Docker với Dockerfile tối ưu cho Web API và docker-compose.yml chạy đồng thời SQL Server và Web API container, tự động kết nối qua mạng nội bộ Docker.</t>
  </si>
  <si>
    <t>Swagger UI được cấu hình đầy đủ, mô tả chi tiết các endpoints, tham số truy vấn, cấu trúc các Models và hỗ trợ test API trực quan.</t>
  </si>
  <si>
    <t>Mã nguồn sạch, viết theo phong cách bất đồng bộ (async/await), đặt tên biến/hàm tường minh, sử dụng Dependency Injection và Repository/Service Pattern chuẩn chỉ, dễ bảo trì.</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</si>
</sst>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font>
      <sz val="11"/>
      <color rgb="FF000000"/>
      <name val="Carlito"/>
      <scheme val="minor"/>
    </font>
    <font>
      <b/>
      <sz val="16"/>
      <color rgb="FFFFFFFF"/>
      <name val="Carlito"/>
    </font>
    <font>
      <b/>
      <sz val="11"/>
      <color rgb="FFFFFFFF"/>
      <name val="Carlito"/>
    </font>
    <font>
      <i/>
      <sz val="11"/>
      <color rgb="FF7F6000"/>
      <name val="Carlito"/>
    </font>
    <font>
      <b/>
      <sz val="11"/>
      <color theme="1"/>
      <name val="Carlito"/>
    </font>
    <font>
      <sz val="11"/>
      <color theme="1"/>
      <name val="Carlito"/>
    </font>
    <font>
      <i/>
      <sz val="11"/>
      <color rgb="FF375623"/>
      <name val="Carlito"/>
    </font>
    <font>
      <u/>
      <sz val="11"/>
      <color rgb="FF0000FF"/>
      <name val="Carlito"/>
    </font>
    <font>
      <b/>
      <sz val="11"/>
      <color rgb="FF1F4E78"/>
      <name val="Carlito"/>
    </font>
    <font>
      <b/>
      <sz val="12"/>
      <color theme="1"/>
      <name val="Carlito"/>
    </font>
  </fonts>
  <fills count="8">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DDEBF7"/>
        <bgColor rgb="FFDDEBF7"/>
      </patternFill>
    </fill>
    <fill>
      <patternFill patternType="solid">
        <fgColor rgb="FFE2F0D9"/>
        <bgColor rgb="FFE2F0D9"/>
      </patternFill>
    </fill>
    <fill>
      <patternFill patternType="solid">
        <fgColor rgb="FFF3F6FA"/>
        <bgColor rgb="FFF3F6FA"/>
      </patternFill>
    </fill>
    <fill>
      <patternFill patternType="solid">
        <fgColor rgb="FFFFFFFF"/>
        <bgColor rgb="FFFFFFFF"/>
      </patternFill>
    </fill>
  </fills>
  <borders count="1">
    <border>
      <left/>
      <right/>
      <top/>
      <bottom/>
      <diagonal/>
    </border>
  </borders>
  <cellStyleXfs count="1">
    <xf numFmtId="0" fontId="0" fillId="0" borderId="0"/>
  </cellStyleXfs>
  <cellXfs count="24">
    <xf numFmtId="0" fontId="0" fillId="0" borderId="0" xfId="0" applyAlignment="1"/>
    <xf numFmtId="0" fontId="4" fillId="4" borderId="0" xfId="0" applyFont="1" applyFill="1"/>
    <xf numFmtId="0" fontId="5" fillId="0" borderId="0" xfId="0" applyFont="1" applyAlignment="1">
      <alignment horizontal="center"/>
    </xf>
    <xf numFmtId="0" fontId="2" fillId="2" borderId="0" xfId="0" applyFont="1" applyFill="1" applyAlignment="1">
      <alignment horizontal="center" vertical="center" wrapText="1"/>
    </xf>
    <xf numFmtId="4" fontId="5" fillId="0" borderId="0" xfId="0" applyNumberFormat="1" applyFont="1" applyAlignment="1">
      <alignment horizontal="center"/>
    </xf>
    <xf numFmtId="0" fontId="5" fillId="0" borderId="0" xfId="0" applyFont="1" applyAlignment="1">
      <alignment horizontal="center" vertical="center" wrapText="1"/>
    </xf>
    <xf numFmtId="0" fontId="7" fillId="0" borderId="0" xfId="0" applyFont="1" applyAlignment="1">
      <alignment vertical="center" wrapText="1"/>
    </xf>
    <xf numFmtId="164" fontId="5" fillId="0" borderId="0" xfId="0" applyNumberFormat="1" applyFont="1" applyAlignment="1">
      <alignment horizontal="center" vertical="center" wrapText="1"/>
    </xf>
    <xf numFmtId="0" fontId="5" fillId="0" borderId="0" xfId="0" applyFont="1" applyAlignment="1">
      <alignment vertical="center" wrapText="1"/>
    </xf>
    <xf numFmtId="0" fontId="4" fillId="6" borderId="0" xfId="0" applyFont="1" applyFill="1"/>
    <xf numFmtId="0" fontId="5" fillId="7" borderId="0" xfId="0" applyFont="1" applyFill="1"/>
    <xf numFmtId="0" fontId="5" fillId="0" borderId="0" xfId="0" applyFont="1"/>
    <xf numFmtId="0" fontId="5" fillId="0" borderId="0" xfId="0" applyFont="1" applyAlignment="1">
      <alignment horizontal="center" vertical="top"/>
    </xf>
    <xf numFmtId="0" fontId="5" fillId="0" borderId="0" xfId="0" applyFont="1" applyAlignment="1">
      <alignment vertical="top" wrapText="1"/>
    </xf>
    <xf numFmtId="164" fontId="5" fillId="0" borderId="0" xfId="0" applyNumberFormat="1" applyFont="1" applyAlignment="1">
      <alignment horizontal="center" vertical="top"/>
    </xf>
    <xf numFmtId="164" fontId="9" fillId="5" borderId="0" xfId="0" applyNumberFormat="1" applyFont="1" applyFill="1" applyAlignment="1">
      <alignment horizontal="center" vertical="center"/>
    </xf>
    <xf numFmtId="0" fontId="0" fillId="0" borderId="0" xfId="0"/>
    <xf numFmtId="0" fontId="3" fillId="3" borderId="0" xfId="0" applyFont="1" applyFill="1" applyAlignment="1">
      <alignment vertical="center" wrapText="1"/>
    </xf>
    <xf numFmtId="0" fontId="0" fillId="0" borderId="0" xfId="0"/>
    <xf numFmtId="0" fontId="2" fillId="2" borderId="0" xfId="0" applyFont="1" applyFill="1" applyAlignment="1">
      <alignment horizontal="center"/>
    </xf>
    <xf numFmtId="0" fontId="1" fillId="2" borderId="0" xfId="0" applyFont="1" applyFill="1" applyAlignment="1">
      <alignment horizontal="center" vertical="center"/>
    </xf>
    <xf numFmtId="0" fontId="6" fillId="5" borderId="0" xfId="0" applyFont="1" applyFill="1" applyAlignment="1">
      <alignment vertical="center" wrapText="1"/>
    </xf>
    <xf numFmtId="0" fontId="8" fillId="4" borderId="0" xfId="0" applyFont="1" applyFill="1" applyAlignment="1">
      <alignment horizontal="center" vertical="center"/>
    </xf>
    <xf numFmtId="0" fontId="9" fillId="5" borderId="0" xfId="0" applyFont="1" applyFill="1" applyAlignment="1">
      <alignment horizontal="center" vertical="center"/>
    </xf>
  </cellXfs>
  <cellStyles count="1">
    <cellStyle name="Normal" xfId="0" builtinId="0"/>
  </cellStyles>
  <dxfs count="11">
    <dxf>
      <fill>
        <patternFill patternType="solid">
          <fgColor rgb="FFF4CCCC"/>
          <bgColor rgb="FFF4CCCC"/>
        </patternFill>
      </fill>
    </dxf>
    <dxf>
      <fill>
        <patternFill patternType="solid">
          <fgColor rgb="FFD9EAD3"/>
          <bgColor rgb="FFD9EAD3"/>
        </patternFill>
      </fill>
    </dxf>
    <dxf>
      <font>
        <b/>
        <color rgb="FF990000"/>
      </font>
      <fill>
        <patternFill patternType="solid">
          <fgColor rgb="FFF4CCCC"/>
          <bgColor rgb="FFF4CCCC"/>
        </patternFill>
      </fill>
    </dxf>
    <dxf>
      <font>
        <b/>
        <color rgb="FF990000"/>
      </font>
      <fill>
        <patternFill patternType="solid">
          <fgColor rgb="FFF4CCCC"/>
          <bgColor rgb="FFF4CCCC"/>
        </patternFill>
      </fill>
    </dxf>
    <dxf>
      <fill>
        <patternFill patternType="solid">
          <fgColor rgb="FFF4CCCC"/>
          <bgColor rgb="FFF4CCCC"/>
        </patternFill>
      </fill>
    </dxf>
    <dxf>
      <fill>
        <patternFill patternType="solid">
          <fgColor rgb="FFD9EAD3"/>
          <bgColor rgb="FFD9EAD3"/>
        </patternFill>
      </fill>
    </dxf>
    <dxf>
      <font>
        <b/>
        <color rgb="FF990000"/>
      </font>
      <fill>
        <patternFill patternType="solid">
          <fgColor rgb="FFF4CCCC"/>
          <bgColor rgb="FFF4CCCC"/>
        </patternFill>
      </fill>
    </dxf>
    <dxf>
      <font>
        <b/>
        <color rgb="FF990000"/>
      </font>
      <fill>
        <patternFill patternType="solid">
          <fgColor rgb="FFF4CCCC"/>
          <bgColor rgb="FFF4CCCC"/>
        </patternFill>
      </fill>
    </dxf>
    <dxf>
      <font>
        <color rgb="FF990000"/>
      </font>
      <fill>
        <patternFill patternType="solid">
          <fgColor rgb="FFF4CCCC"/>
          <bgColor rgb="FFF4CCCC"/>
        </patternFill>
      </fill>
    </dxf>
    <dxf>
      <font>
        <color rgb="FF7F6000"/>
      </font>
      <fill>
        <patternFill patternType="solid">
          <fgColor rgb="FFFCE5CD"/>
          <bgColor rgb="FFFCE5CD"/>
        </patternFill>
      </fill>
    </dxf>
    <dxf>
      <font>
        <color rgb="FF274E13"/>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33"/>
  <sheetViews>
    <sheetView workbookViewId="0">
      <selection sqref="A1:K1"/>
    </sheetView>
  </sheetViews>
  <sheetFormatPr defaultColWidth="12.59765625" defaultRowHeight="15" customHeight="1"/>
  <cols>
    <col min="1" max="1" width="6" style="16" customWidth="1"/>
    <col min="2" max="2" width="14" style="16" customWidth="1"/>
    <col min="3" max="3" width="22" style="16" customWidth="1"/>
    <col min="4" max="4" width="25" style="16" customWidth="1"/>
    <col min="5" max="5" width="28" style="16" customWidth="1"/>
    <col min="6" max="6" width="15" style="16" customWidth="1"/>
    <col min="7" max="9" width="14" style="16" customWidth="1"/>
    <col min="10" max="10" width="20" style="16" customWidth="1"/>
    <col min="11" max="11" width="28" style="16" customWidth="1"/>
    <col min="12" max="12" width="8.59765625" style="16" customWidth="1"/>
    <col min="13" max="13" width="20" style="16" customWidth="1"/>
    <col min="14" max="14" width="12" style="16" customWidth="1"/>
    <col min="15" max="24" width="8.59765625" style="16" customWidth="1"/>
  </cols>
  <sheetData>
    <row r="1" spans="1:24" ht="33.75" customHeight="1">
      <c r="A1" s="20" t="s">
        <v>0</v>
      </c>
      <c r="B1" s="18"/>
      <c r="C1" s="18"/>
      <c r="D1" s="18"/>
      <c r="E1" s="18"/>
      <c r="F1" s="18"/>
      <c r="G1" s="18"/>
      <c r="H1" s="18"/>
      <c r="I1" s="18"/>
      <c r="J1" s="18"/>
      <c r="K1" s="18"/>
      <c r="M1" s="19" t="s">
        <v>1</v>
      </c>
      <c r="N1" s="18"/>
      <c r="O1" s="18"/>
      <c r="P1" s="18"/>
    </row>
    <row r="2" spans="1:24" ht="36" customHeight="1">
      <c r="A2" s="17" t="s">
        <v>2</v>
      </c>
      <c r="B2" s="18"/>
      <c r="C2" s="18"/>
      <c r="D2" s="18"/>
      <c r="E2" s="18"/>
      <c r="F2" s="18"/>
      <c r="G2" s="18"/>
      <c r="H2" s="18"/>
      <c r="I2" s="18"/>
      <c r="J2" s="18"/>
      <c r="K2" s="18"/>
      <c r="M2" s="1" t="s">
        <v>3</v>
      </c>
      <c r="N2" s="2">
        <f>COUNTIF(E5:E44,"&lt;&gt;")</f>
        <v>1</v>
      </c>
    </row>
    <row r="3" spans="1:24" ht="24" customHeight="1">
      <c r="A3" s="21" t="s">
        <v>4</v>
      </c>
      <c r="B3" s="18"/>
      <c r="C3" s="18"/>
      <c r="D3" s="18"/>
      <c r="E3" s="18"/>
      <c r="F3" s="18"/>
      <c r="G3" s="18"/>
      <c r="H3" s="18"/>
      <c r="I3" s="18"/>
      <c r="J3" s="18"/>
      <c r="K3" s="18"/>
      <c r="M3" s="1" t="s">
        <v>5</v>
      </c>
      <c r="N3" s="2">
        <f ca="1">COUNT(G5:G44)</f>
        <v>1</v>
      </c>
    </row>
    <row r="4" spans="1:24" ht="30" customHeight="1">
      <c r="A4" s="3" t="s">
        <v>6</v>
      </c>
      <c r="B4" s="3" t="s">
        <v>7</v>
      </c>
      <c r="C4" s="3" t="s">
        <v>8</v>
      </c>
      <c r="D4" s="3" t="s">
        <v>9</v>
      </c>
      <c r="E4" s="3" t="s">
        <v>10</v>
      </c>
      <c r="F4" s="3" t="s">
        <v>11</v>
      </c>
      <c r="G4" s="3" t="s">
        <v>12</v>
      </c>
      <c r="H4" s="3" t="s">
        <v>13</v>
      </c>
      <c r="I4" s="3" t="s">
        <v>14</v>
      </c>
      <c r="J4" s="3" t="s">
        <v>15</v>
      </c>
      <c r="K4" s="3" t="s">
        <v>16</v>
      </c>
      <c r="M4" s="1" t="s">
        <v>17</v>
      </c>
      <c r="N4" s="4">
        <f ca="1">IFERROR(AVERAGE(G5:G44),"")</f>
        <v>10</v>
      </c>
    </row>
    <row r="5" spans="1:24" ht="13.8">
      <c r="A5" s="5">
        <f t="shared" ref="A5:A44" si="0">ROW()-4</f>
        <v>1</v>
      </c>
      <c r="B5" s="8" t="str">
        <f t="shared" ref="B5:B44" ca="1" si="1">IFERROR(INDIRECT("'"&amp;$E5&amp;"'!E2"),"")</f>
        <v>SE170001</v>
      </c>
      <c r="C5" s="8" t="str">
        <f t="shared" ref="C5:C44" ca="1" si="2">IFERROR(INDIRECT("'"&amp;$E5&amp;"'!B2"),"")</f>
        <v>Nguyen Van A</v>
      </c>
      <c r="D5" s="6" t="str">
        <f t="shared" ref="D5:D44" ca="1" si="3">IFERROR(INDIRECT("'"&amp;$E5&amp;"'!B3"),"")</f>
        <v>github.com/nguyenvana</v>
      </c>
      <c r="E5" s="8" t="s">
        <v>18</v>
      </c>
      <c r="F5" s="8" t="str">
        <f t="shared" ref="F5:F44" ca="1" si="4">IFERROR(INDIRECT("'"&amp;$E5&amp;"'!E3"),"")</f>
        <v>2026-05-20</v>
      </c>
      <c r="G5" s="7">
        <f t="shared" ref="G5:G44" ca="1" si="5">IFERROR(INDIRECT("'"&amp;$E5&amp;"'!D21"),"")</f>
        <v>10</v>
      </c>
      <c r="H5" s="7"/>
      <c r="I5" s="7">
        <f t="shared" ref="I5:I44" ca="1" si="6">IF($H5&lt;&gt;"",$H5,$G5)</f>
        <v>10</v>
      </c>
      <c r="J5" s="8" t="str">
        <f t="shared" ref="J5:J44" ca="1" si="7">IF($E5="","Chưa khai báo sheet",IF($G5="","Chưa lấy được điểm","Đã liên kết"))</f>
        <v>Đã liên kết</v>
      </c>
      <c r="K5" s="8"/>
      <c r="M5" s="1" t="s">
        <v>19</v>
      </c>
      <c r="N5" s="4">
        <f ca="1">IFERROR(MAX(G5:G44),"")</f>
        <v>10</v>
      </c>
    </row>
    <row r="6" spans="1:24" ht="13.8">
      <c r="A6" s="5">
        <f t="shared" si="0"/>
        <v>2</v>
      </c>
      <c r="B6" s="8" t="str">
        <f t="shared" ca="1" si="1"/>
        <v/>
      </c>
      <c r="C6" s="8" t="str">
        <f t="shared" ca="1" si="2"/>
        <v/>
      </c>
      <c r="D6" s="8" t="str">
        <f t="shared" ca="1" si="3"/>
        <v/>
      </c>
      <c r="E6" s="8"/>
      <c r="F6" s="8" t="str">
        <f t="shared" ca="1" si="4"/>
        <v/>
      </c>
      <c r="G6" s="7" t="str">
        <f t="shared" ca="1" si="5"/>
        <v/>
      </c>
      <c r="H6" s="7"/>
      <c r="I6" s="7" t="str">
        <f t="shared" ca="1" si="6"/>
        <v/>
      </c>
      <c r="J6" s="8" t="str">
        <f t="shared" si="7"/>
        <v>Chưa khai báo sheet</v>
      </c>
      <c r="K6" s="8"/>
      <c r="L6" s="8"/>
      <c r="M6" s="8" t="s">
        <v>20</v>
      </c>
      <c r="N6" s="8">
        <f ca="1">IFERROR(MIN(G5:G44),"")</f>
        <v>10</v>
      </c>
      <c r="O6" s="8"/>
      <c r="P6" s="8"/>
      <c r="Q6" s="8"/>
      <c r="R6" s="8"/>
      <c r="S6" s="8"/>
      <c r="T6" s="8"/>
      <c r="U6" s="8"/>
      <c r="V6" s="8"/>
      <c r="W6" s="8"/>
      <c r="X6" s="8"/>
    </row>
    <row r="7" spans="1:24" ht="13.8">
      <c r="A7" s="5">
        <f t="shared" si="0"/>
        <v>3</v>
      </c>
      <c r="B7" s="8" t="str">
        <f t="shared" ca="1" si="1"/>
        <v/>
      </c>
      <c r="C7" s="8" t="str">
        <f t="shared" ca="1" si="2"/>
        <v/>
      </c>
      <c r="D7" s="8" t="str">
        <f t="shared" ca="1" si="3"/>
        <v/>
      </c>
      <c r="E7" s="8"/>
      <c r="F7" s="8" t="str">
        <f t="shared" ca="1" si="4"/>
        <v/>
      </c>
      <c r="G7" s="7" t="str">
        <f t="shared" ca="1" si="5"/>
        <v/>
      </c>
      <c r="H7" s="7"/>
      <c r="I7" s="7" t="str">
        <f t="shared" ca="1" si="6"/>
        <v/>
      </c>
      <c r="J7" s="8" t="str">
        <f t="shared" si="7"/>
        <v>Chưa khai báo sheet</v>
      </c>
      <c r="K7" s="8"/>
    </row>
    <row r="8" spans="1:24" ht="13.8">
      <c r="A8" s="5">
        <f t="shared" si="0"/>
        <v>4</v>
      </c>
      <c r="B8" s="8" t="str">
        <f t="shared" ca="1" si="1"/>
        <v/>
      </c>
      <c r="C8" s="8" t="str">
        <f t="shared" ca="1" si="2"/>
        <v/>
      </c>
      <c r="D8" s="8" t="str">
        <f t="shared" ca="1" si="3"/>
        <v/>
      </c>
      <c r="E8" s="8"/>
      <c r="F8" s="8" t="str">
        <f t="shared" ca="1" si="4"/>
        <v/>
      </c>
      <c r="G8" s="7" t="str">
        <f t="shared" ca="1" si="5"/>
        <v/>
      </c>
      <c r="H8" s="7"/>
      <c r="I8" s="7" t="str">
        <f t="shared" ca="1" si="6"/>
        <v/>
      </c>
      <c r="J8" s="8" t="str">
        <f t="shared" si="7"/>
        <v>Chưa khai báo sheet</v>
      </c>
      <c r="K8" s="8"/>
    </row>
    <row r="9" spans="1:24" ht="13.8">
      <c r="A9" s="5">
        <f t="shared" si="0"/>
        <v>5</v>
      </c>
      <c r="B9" s="8" t="str">
        <f t="shared" ca="1" si="1"/>
        <v/>
      </c>
      <c r="C9" s="8" t="str">
        <f t="shared" ca="1" si="2"/>
        <v/>
      </c>
      <c r="D9" s="8" t="str">
        <f t="shared" ca="1" si="3"/>
        <v/>
      </c>
      <c r="E9" s="8"/>
      <c r="F9" s="8" t="str">
        <f t="shared" ca="1" si="4"/>
        <v/>
      </c>
      <c r="G9" s="7" t="str">
        <f t="shared" ca="1" si="5"/>
        <v/>
      </c>
      <c r="H9" s="7"/>
      <c r="I9" s="7" t="str">
        <f t="shared" ca="1" si="6"/>
        <v/>
      </c>
      <c r="J9" s="8" t="str">
        <f t="shared" si="7"/>
        <v>Chưa khai báo sheet</v>
      </c>
      <c r="K9" s="8"/>
    </row>
    <row r="10" spans="1:24" ht="13.8">
      <c r="A10" s="5">
        <f t="shared" si="0"/>
        <v>6</v>
      </c>
      <c r="B10" s="8" t="str">
        <f t="shared" ca="1" si="1"/>
        <v/>
      </c>
      <c r="C10" s="8" t="str">
        <f t="shared" ca="1" si="2"/>
        <v/>
      </c>
      <c r="D10" s="8" t="str">
        <f t="shared" ca="1" si="3"/>
        <v/>
      </c>
      <c r="E10" s="8"/>
      <c r="F10" s="8" t="str">
        <f t="shared" ca="1" si="4"/>
        <v/>
      </c>
      <c r="G10" s="7" t="str">
        <f t="shared" ca="1" si="5"/>
        <v/>
      </c>
      <c r="H10" s="7"/>
      <c r="I10" s="7" t="str">
        <f t="shared" ca="1" si="6"/>
        <v/>
      </c>
      <c r="J10" s="8" t="str">
        <f t="shared" si="7"/>
        <v>Chưa khai báo sheet</v>
      </c>
      <c r="K10" s="8"/>
    </row>
    <row r="11" spans="1:24" ht="13.8">
      <c r="A11" s="5">
        <f t="shared" si="0"/>
        <v>7</v>
      </c>
      <c r="B11" s="8" t="str">
        <f t="shared" ca="1" si="1"/>
        <v/>
      </c>
      <c r="C11" s="8" t="str">
        <f t="shared" ca="1" si="2"/>
        <v/>
      </c>
      <c r="D11" s="8" t="str">
        <f t="shared" ca="1" si="3"/>
        <v/>
      </c>
      <c r="E11" s="8"/>
      <c r="F11" s="8" t="str">
        <f t="shared" ca="1" si="4"/>
        <v/>
      </c>
      <c r="G11" s="7" t="str">
        <f t="shared" ca="1" si="5"/>
        <v/>
      </c>
      <c r="H11" s="7"/>
      <c r="I11" s="7" t="str">
        <f t="shared" ca="1" si="6"/>
        <v/>
      </c>
      <c r="J11" s="8" t="str">
        <f t="shared" si="7"/>
        <v>Chưa khai báo sheet</v>
      </c>
      <c r="K11" s="8"/>
    </row>
    <row r="12" spans="1:24" ht="13.8">
      <c r="A12" s="5">
        <f t="shared" si="0"/>
        <v>8</v>
      </c>
      <c r="B12" s="8" t="str">
        <f t="shared" ca="1" si="1"/>
        <v/>
      </c>
      <c r="C12" s="8" t="str">
        <f t="shared" ca="1" si="2"/>
        <v/>
      </c>
      <c r="D12" s="8" t="str">
        <f t="shared" ca="1" si="3"/>
        <v/>
      </c>
      <c r="E12" s="8"/>
      <c r="F12" s="8" t="str">
        <f t="shared" ca="1" si="4"/>
        <v/>
      </c>
      <c r="G12" s="7" t="str">
        <f t="shared" ca="1" si="5"/>
        <v/>
      </c>
      <c r="H12" s="7"/>
      <c r="I12" s="7" t="str">
        <f t="shared" ca="1" si="6"/>
        <v/>
      </c>
      <c r="J12" s="8" t="str">
        <f t="shared" si="7"/>
        <v>Chưa khai báo sheet</v>
      </c>
      <c r="K12" s="8"/>
    </row>
    <row r="13" spans="1:24" ht="13.8">
      <c r="A13" s="5">
        <f t="shared" si="0"/>
        <v>9</v>
      </c>
      <c r="B13" s="8" t="str">
        <f t="shared" ca="1" si="1"/>
        <v/>
      </c>
      <c r="C13" s="8" t="str">
        <f t="shared" ca="1" si="2"/>
        <v/>
      </c>
      <c r="D13" s="8" t="str">
        <f t="shared" ca="1" si="3"/>
        <v/>
      </c>
      <c r="E13" s="8"/>
      <c r="F13" s="8" t="str">
        <f t="shared" ca="1" si="4"/>
        <v/>
      </c>
      <c r="G13" s="7" t="str">
        <f t="shared" ca="1" si="5"/>
        <v/>
      </c>
      <c r="H13" s="7"/>
      <c r="I13" s="7" t="str">
        <f t="shared" ca="1" si="6"/>
        <v/>
      </c>
      <c r="J13" s="8" t="str">
        <f t="shared" si="7"/>
        <v>Chưa khai báo sheet</v>
      </c>
      <c r="K13" s="8"/>
    </row>
    <row r="14" spans="1:24" ht="13.8">
      <c r="A14" s="5">
        <f t="shared" si="0"/>
        <v>10</v>
      </c>
      <c r="B14" s="8" t="str">
        <f t="shared" ca="1" si="1"/>
        <v/>
      </c>
      <c r="C14" s="8" t="str">
        <f t="shared" ca="1" si="2"/>
        <v/>
      </c>
      <c r="D14" s="8" t="str">
        <f t="shared" ca="1" si="3"/>
        <v/>
      </c>
      <c r="E14" s="8"/>
      <c r="F14" s="8" t="str">
        <f t="shared" ca="1" si="4"/>
        <v/>
      </c>
      <c r="G14" s="7" t="str">
        <f t="shared" ca="1" si="5"/>
        <v/>
      </c>
      <c r="H14" s="7"/>
      <c r="I14" s="7" t="str">
        <f t="shared" ca="1" si="6"/>
        <v/>
      </c>
      <c r="J14" s="8" t="str">
        <f t="shared" si="7"/>
        <v>Chưa khai báo sheet</v>
      </c>
      <c r="K14" s="8"/>
    </row>
    <row r="15" spans="1:24" ht="13.8">
      <c r="A15" s="5">
        <f t="shared" si="0"/>
        <v>11</v>
      </c>
      <c r="B15" s="8" t="str">
        <f t="shared" ca="1" si="1"/>
        <v/>
      </c>
      <c r="C15" s="8" t="str">
        <f t="shared" ca="1" si="2"/>
        <v/>
      </c>
      <c r="D15" s="8" t="str">
        <f t="shared" ca="1" si="3"/>
        <v/>
      </c>
      <c r="E15" s="8"/>
      <c r="F15" s="8" t="str">
        <f t="shared" ca="1" si="4"/>
        <v/>
      </c>
      <c r="G15" s="7" t="str">
        <f t="shared" ca="1" si="5"/>
        <v/>
      </c>
      <c r="H15" s="7"/>
      <c r="I15" s="7" t="str">
        <f t="shared" ca="1" si="6"/>
        <v/>
      </c>
      <c r="J15" s="8" t="str">
        <f t="shared" si="7"/>
        <v>Chưa khai báo sheet</v>
      </c>
      <c r="K15" s="8"/>
    </row>
    <row r="16" spans="1:24" ht="13.8">
      <c r="A16" s="5">
        <f t="shared" si="0"/>
        <v>12</v>
      </c>
      <c r="B16" s="8" t="str">
        <f t="shared" ca="1" si="1"/>
        <v/>
      </c>
      <c r="C16" s="8" t="str">
        <f t="shared" ca="1" si="2"/>
        <v/>
      </c>
      <c r="D16" s="8" t="str">
        <f t="shared" ca="1" si="3"/>
        <v/>
      </c>
      <c r="E16" s="8"/>
      <c r="F16" s="8" t="str">
        <f t="shared" ca="1" si="4"/>
        <v/>
      </c>
      <c r="G16" s="7" t="str">
        <f t="shared" ca="1" si="5"/>
        <v/>
      </c>
      <c r="H16" s="7"/>
      <c r="I16" s="7" t="str">
        <f t="shared" ca="1" si="6"/>
        <v/>
      </c>
      <c r="J16" s="8" t="str">
        <f t="shared" si="7"/>
        <v>Chưa khai báo sheet</v>
      </c>
      <c r="K16" s="8"/>
    </row>
    <row r="17" spans="1:11" ht="13.8">
      <c r="A17" s="5">
        <f t="shared" si="0"/>
        <v>13</v>
      </c>
      <c r="B17" s="8" t="str">
        <f t="shared" ca="1" si="1"/>
        <v/>
      </c>
      <c r="C17" s="8" t="str">
        <f t="shared" ca="1" si="2"/>
        <v/>
      </c>
      <c r="D17" s="8" t="str">
        <f t="shared" ca="1" si="3"/>
        <v/>
      </c>
      <c r="E17" s="8"/>
      <c r="F17" s="8" t="str">
        <f t="shared" ca="1" si="4"/>
        <v/>
      </c>
      <c r="G17" s="7" t="str">
        <f t="shared" ca="1" si="5"/>
        <v/>
      </c>
      <c r="H17" s="7"/>
      <c r="I17" s="7" t="str">
        <f t="shared" ca="1" si="6"/>
        <v/>
      </c>
      <c r="J17" s="8" t="str">
        <f t="shared" si="7"/>
        <v>Chưa khai báo sheet</v>
      </c>
      <c r="K17" s="8"/>
    </row>
    <row r="18" spans="1:11" ht="13.8">
      <c r="A18" s="5">
        <f t="shared" si="0"/>
        <v>14</v>
      </c>
      <c r="B18" s="8" t="str">
        <f t="shared" ca="1" si="1"/>
        <v/>
      </c>
      <c r="C18" s="8" t="str">
        <f t="shared" ca="1" si="2"/>
        <v/>
      </c>
      <c r="D18" s="8" t="str">
        <f t="shared" ca="1" si="3"/>
        <v/>
      </c>
      <c r="E18" s="8"/>
      <c r="F18" s="8" t="str">
        <f t="shared" ca="1" si="4"/>
        <v/>
      </c>
      <c r="G18" s="7" t="str">
        <f t="shared" ca="1" si="5"/>
        <v/>
      </c>
      <c r="H18" s="7"/>
      <c r="I18" s="7" t="str">
        <f t="shared" ca="1" si="6"/>
        <v/>
      </c>
      <c r="J18" s="8" t="str">
        <f t="shared" si="7"/>
        <v>Chưa khai báo sheet</v>
      </c>
      <c r="K18" s="8"/>
    </row>
    <row r="19" spans="1:11" ht="13.8">
      <c r="A19" s="5">
        <f t="shared" si="0"/>
        <v>15</v>
      </c>
      <c r="B19" s="8" t="str">
        <f t="shared" ca="1" si="1"/>
        <v/>
      </c>
      <c r="C19" s="8" t="str">
        <f t="shared" ca="1" si="2"/>
        <v/>
      </c>
      <c r="D19" s="8" t="str">
        <f t="shared" ca="1" si="3"/>
        <v/>
      </c>
      <c r="E19" s="8"/>
      <c r="F19" s="8" t="str">
        <f t="shared" ca="1" si="4"/>
        <v/>
      </c>
      <c r="G19" s="7" t="str">
        <f t="shared" ca="1" si="5"/>
        <v/>
      </c>
      <c r="H19" s="7"/>
      <c r="I19" s="7" t="str">
        <f t="shared" ca="1" si="6"/>
        <v/>
      </c>
      <c r="J19" s="8" t="str">
        <f t="shared" si="7"/>
        <v>Chưa khai báo sheet</v>
      </c>
      <c r="K19" s="8"/>
    </row>
    <row r="20" spans="1:11" ht="13.8">
      <c r="A20" s="5">
        <f t="shared" si="0"/>
        <v>16</v>
      </c>
      <c r="B20" s="8" t="str">
        <f t="shared" ca="1" si="1"/>
        <v/>
      </c>
      <c r="C20" s="8" t="str">
        <f t="shared" ca="1" si="2"/>
        <v/>
      </c>
      <c r="D20" s="8" t="str">
        <f t="shared" ca="1" si="3"/>
        <v/>
      </c>
      <c r="E20" s="8"/>
      <c r="F20" s="8" t="str">
        <f t="shared" ca="1" si="4"/>
        <v/>
      </c>
      <c r="G20" s="7" t="str">
        <f t="shared" ca="1" si="5"/>
        <v/>
      </c>
      <c r="H20" s="7"/>
      <c r="I20" s="7" t="str">
        <f t="shared" ca="1" si="6"/>
        <v/>
      </c>
      <c r="J20" s="8" t="str">
        <f t="shared" si="7"/>
        <v>Chưa khai báo sheet</v>
      </c>
      <c r="K20" s="8"/>
    </row>
    <row r="21" spans="1:11" ht="15.75" customHeight="1">
      <c r="A21" s="5">
        <f t="shared" si="0"/>
        <v>17</v>
      </c>
      <c r="B21" s="8" t="str">
        <f t="shared" ca="1" si="1"/>
        <v/>
      </c>
      <c r="C21" s="8" t="str">
        <f t="shared" ca="1" si="2"/>
        <v/>
      </c>
      <c r="D21" s="8" t="str">
        <f t="shared" ca="1" si="3"/>
        <v/>
      </c>
      <c r="E21" s="8"/>
      <c r="F21" s="8" t="str">
        <f t="shared" ca="1" si="4"/>
        <v/>
      </c>
      <c r="G21" s="7" t="str">
        <f t="shared" ca="1" si="5"/>
        <v/>
      </c>
      <c r="H21" s="7"/>
      <c r="I21" s="7" t="str">
        <f t="shared" ca="1" si="6"/>
        <v/>
      </c>
      <c r="J21" s="8" t="str">
        <f t="shared" si="7"/>
        <v>Chưa khai báo sheet</v>
      </c>
      <c r="K21" s="8"/>
    </row>
    <row r="22" spans="1:11" ht="15.75" customHeight="1">
      <c r="A22" s="5">
        <f t="shared" si="0"/>
        <v>18</v>
      </c>
      <c r="B22" s="8" t="str">
        <f t="shared" ca="1" si="1"/>
        <v/>
      </c>
      <c r="C22" s="8" t="str">
        <f t="shared" ca="1" si="2"/>
        <v/>
      </c>
      <c r="D22" s="8" t="str">
        <f t="shared" ca="1" si="3"/>
        <v/>
      </c>
      <c r="E22" s="8"/>
      <c r="F22" s="8" t="str">
        <f t="shared" ca="1" si="4"/>
        <v/>
      </c>
      <c r="G22" s="7" t="str">
        <f t="shared" ca="1" si="5"/>
        <v/>
      </c>
      <c r="H22" s="7"/>
      <c r="I22" s="7" t="str">
        <f t="shared" ca="1" si="6"/>
        <v/>
      </c>
      <c r="J22" s="8" t="str">
        <f t="shared" si="7"/>
        <v>Chưa khai báo sheet</v>
      </c>
      <c r="K22" s="8"/>
    </row>
    <row r="23" spans="1:11" ht="15.75" customHeight="1">
      <c r="A23" s="5">
        <f t="shared" si="0"/>
        <v>19</v>
      </c>
      <c r="B23" s="8" t="str">
        <f t="shared" ca="1" si="1"/>
        <v/>
      </c>
      <c r="C23" s="8" t="str">
        <f t="shared" ca="1" si="2"/>
        <v/>
      </c>
      <c r="D23" s="8" t="str">
        <f t="shared" ca="1" si="3"/>
        <v/>
      </c>
      <c r="E23" s="8"/>
      <c r="F23" s="8" t="str">
        <f t="shared" ca="1" si="4"/>
        <v/>
      </c>
      <c r="G23" s="7" t="str">
        <f t="shared" ca="1" si="5"/>
        <v/>
      </c>
      <c r="H23" s="7"/>
      <c r="I23" s="7" t="str">
        <f t="shared" ca="1" si="6"/>
        <v/>
      </c>
      <c r="J23" s="8" t="str">
        <f t="shared" si="7"/>
        <v>Chưa khai báo sheet</v>
      </c>
      <c r="K23" s="8"/>
    </row>
    <row r="24" spans="1:11" ht="15.75" customHeight="1">
      <c r="A24" s="5">
        <f t="shared" si="0"/>
        <v>20</v>
      </c>
      <c r="B24" s="8" t="str">
        <f t="shared" ca="1" si="1"/>
        <v/>
      </c>
      <c r="C24" s="8" t="str">
        <f t="shared" ca="1" si="2"/>
        <v/>
      </c>
      <c r="D24" s="8" t="str">
        <f t="shared" ca="1" si="3"/>
        <v/>
      </c>
      <c r="E24" s="8"/>
      <c r="F24" s="8" t="str">
        <f t="shared" ca="1" si="4"/>
        <v/>
      </c>
      <c r="G24" s="7" t="str">
        <f t="shared" ca="1" si="5"/>
        <v/>
      </c>
      <c r="H24" s="7"/>
      <c r="I24" s="7" t="str">
        <f t="shared" ca="1" si="6"/>
        <v/>
      </c>
      <c r="J24" s="8" t="str">
        <f t="shared" si="7"/>
        <v>Chưa khai báo sheet</v>
      </c>
      <c r="K24" s="8"/>
    </row>
    <row r="25" spans="1:11" ht="15.75" customHeight="1">
      <c r="A25" s="5">
        <f t="shared" si="0"/>
        <v>21</v>
      </c>
      <c r="B25" s="8" t="str">
        <f t="shared" ca="1" si="1"/>
        <v/>
      </c>
      <c r="C25" s="8" t="str">
        <f t="shared" ca="1" si="2"/>
        <v/>
      </c>
      <c r="D25" s="8" t="str">
        <f t="shared" ca="1" si="3"/>
        <v/>
      </c>
      <c r="E25" s="8"/>
      <c r="F25" s="8" t="str">
        <f t="shared" ca="1" si="4"/>
        <v/>
      </c>
      <c r="G25" s="7" t="str">
        <f t="shared" ca="1" si="5"/>
        <v/>
      </c>
      <c r="H25" s="7"/>
      <c r="I25" s="7" t="str">
        <f t="shared" ca="1" si="6"/>
        <v/>
      </c>
      <c r="J25" s="8" t="str">
        <f t="shared" si="7"/>
        <v>Chưa khai báo sheet</v>
      </c>
      <c r="K25" s="8"/>
    </row>
    <row r="26" spans="1:11" ht="15.75" customHeight="1">
      <c r="A26" s="5">
        <f t="shared" si="0"/>
        <v>22</v>
      </c>
      <c r="B26" s="8" t="str">
        <f t="shared" ca="1" si="1"/>
        <v/>
      </c>
      <c r="C26" s="8" t="str">
        <f t="shared" ca="1" si="2"/>
        <v/>
      </c>
      <c r="D26" s="8" t="str">
        <f t="shared" ca="1" si="3"/>
        <v/>
      </c>
      <c r="E26" s="8"/>
      <c r="F26" s="8" t="str">
        <f t="shared" ca="1" si="4"/>
        <v/>
      </c>
      <c r="G26" s="7" t="str">
        <f t="shared" ca="1" si="5"/>
        <v/>
      </c>
      <c r="H26" s="7"/>
      <c r="I26" s="7" t="str">
        <f t="shared" ca="1" si="6"/>
        <v/>
      </c>
      <c r="J26" s="8" t="str">
        <f t="shared" si="7"/>
        <v>Chưa khai báo sheet</v>
      </c>
      <c r="K26" s="8"/>
    </row>
    <row r="27" spans="1:11" ht="15.75" customHeight="1">
      <c r="A27" s="5">
        <f t="shared" si="0"/>
        <v>23</v>
      </c>
      <c r="B27" s="8" t="str">
        <f t="shared" ca="1" si="1"/>
        <v/>
      </c>
      <c r="C27" s="8" t="str">
        <f t="shared" ca="1" si="2"/>
        <v/>
      </c>
      <c r="D27" s="8" t="str">
        <f t="shared" ca="1" si="3"/>
        <v/>
      </c>
      <c r="E27" s="8"/>
      <c r="F27" s="8" t="str">
        <f t="shared" ca="1" si="4"/>
        <v/>
      </c>
      <c r="G27" s="7" t="str">
        <f t="shared" ca="1" si="5"/>
        <v/>
      </c>
      <c r="H27" s="7"/>
      <c r="I27" s="7" t="str">
        <f t="shared" ca="1" si="6"/>
        <v/>
      </c>
      <c r="J27" s="8" t="str">
        <f t="shared" si="7"/>
        <v>Chưa khai báo sheet</v>
      </c>
      <c r="K27" s="8"/>
    </row>
    <row r="28" spans="1:11" ht="15.75" customHeight="1">
      <c r="A28" s="5">
        <f t="shared" si="0"/>
        <v>24</v>
      </c>
      <c r="B28" s="8" t="str">
        <f t="shared" ca="1" si="1"/>
        <v/>
      </c>
      <c r="C28" s="8" t="str">
        <f t="shared" ca="1" si="2"/>
        <v/>
      </c>
      <c r="D28" s="8" t="str">
        <f t="shared" ca="1" si="3"/>
        <v/>
      </c>
      <c r="E28" s="8"/>
      <c r="F28" s="8" t="str">
        <f t="shared" ca="1" si="4"/>
        <v/>
      </c>
      <c r="G28" s="7" t="str">
        <f t="shared" ca="1" si="5"/>
        <v/>
      </c>
      <c r="H28" s="7"/>
      <c r="I28" s="7" t="str">
        <f t="shared" ca="1" si="6"/>
        <v/>
      </c>
      <c r="J28" s="8" t="str">
        <f t="shared" si="7"/>
        <v>Chưa khai báo sheet</v>
      </c>
      <c r="K28" s="8"/>
    </row>
    <row r="29" spans="1:11" ht="15.75" customHeight="1">
      <c r="A29" s="5">
        <f t="shared" si="0"/>
        <v>25</v>
      </c>
      <c r="B29" s="8" t="str">
        <f t="shared" ca="1" si="1"/>
        <v/>
      </c>
      <c r="C29" s="8" t="str">
        <f t="shared" ca="1" si="2"/>
        <v/>
      </c>
      <c r="D29" s="8" t="str">
        <f t="shared" ca="1" si="3"/>
        <v/>
      </c>
      <c r="E29" s="8"/>
      <c r="F29" s="8" t="str">
        <f t="shared" ca="1" si="4"/>
        <v/>
      </c>
      <c r="G29" s="7" t="str">
        <f t="shared" ca="1" si="5"/>
        <v/>
      </c>
      <c r="H29" s="7"/>
      <c r="I29" s="7" t="str">
        <f t="shared" ca="1" si="6"/>
        <v/>
      </c>
      <c r="J29" s="8" t="str">
        <f t="shared" si="7"/>
        <v>Chưa khai báo sheet</v>
      </c>
      <c r="K29" s="8"/>
    </row>
    <row r="30" spans="1:11" ht="15.75" customHeight="1">
      <c r="A30" s="5">
        <f t="shared" si="0"/>
        <v>26</v>
      </c>
      <c r="B30" s="8" t="str">
        <f t="shared" ca="1" si="1"/>
        <v/>
      </c>
      <c r="C30" s="8" t="str">
        <f t="shared" ca="1" si="2"/>
        <v/>
      </c>
      <c r="D30" s="8" t="str">
        <f t="shared" ca="1" si="3"/>
        <v/>
      </c>
      <c r="E30" s="8"/>
      <c r="F30" s="8" t="str">
        <f t="shared" ca="1" si="4"/>
        <v/>
      </c>
      <c r="G30" s="7" t="str">
        <f t="shared" ca="1" si="5"/>
        <v/>
      </c>
      <c r="H30" s="7"/>
      <c r="I30" s="7" t="str">
        <f t="shared" ca="1" si="6"/>
        <v/>
      </c>
      <c r="J30" s="8" t="str">
        <f t="shared" si="7"/>
        <v>Chưa khai báo sheet</v>
      </c>
      <c r="K30" s="8"/>
    </row>
    <row r="31" spans="1:11" ht="15.75" customHeight="1">
      <c r="A31" s="5">
        <f t="shared" si="0"/>
        <v>27</v>
      </c>
      <c r="B31" s="8" t="str">
        <f t="shared" ca="1" si="1"/>
        <v/>
      </c>
      <c r="C31" s="8" t="str">
        <f t="shared" ca="1" si="2"/>
        <v/>
      </c>
      <c r="D31" s="8" t="str">
        <f t="shared" ca="1" si="3"/>
        <v/>
      </c>
      <c r="E31" s="8"/>
      <c r="F31" s="8" t="str">
        <f t="shared" ca="1" si="4"/>
        <v/>
      </c>
      <c r="G31" s="7" t="str">
        <f t="shared" ca="1" si="5"/>
        <v/>
      </c>
      <c r="H31" s="7"/>
      <c r="I31" s="7" t="str">
        <f t="shared" ca="1" si="6"/>
        <v/>
      </c>
      <c r="J31" s="8" t="str">
        <f t="shared" si="7"/>
        <v>Chưa khai báo sheet</v>
      </c>
      <c r="K31" s="8"/>
    </row>
    <row r="32" spans="1:11" ht="15.75" customHeight="1">
      <c r="A32" s="5">
        <f t="shared" si="0"/>
        <v>28</v>
      </c>
      <c r="B32" s="8" t="str">
        <f t="shared" ca="1" si="1"/>
        <v/>
      </c>
      <c r="C32" s="8" t="str">
        <f t="shared" ca="1" si="2"/>
        <v/>
      </c>
      <c r="D32" s="8" t="str">
        <f t="shared" ca="1" si="3"/>
        <v/>
      </c>
      <c r="E32" s="8"/>
      <c r="F32" s="8" t="str">
        <f t="shared" ca="1" si="4"/>
        <v/>
      </c>
      <c r="G32" s="7" t="str">
        <f t="shared" ca="1" si="5"/>
        <v/>
      </c>
      <c r="H32" s="7"/>
      <c r="I32" s="7" t="str">
        <f t="shared" ca="1" si="6"/>
        <v/>
      </c>
      <c r="J32" s="8" t="str">
        <f t="shared" si="7"/>
        <v>Chưa khai báo sheet</v>
      </c>
      <c r="K32" s="8"/>
    </row>
    <row r="33" spans="1:11" ht="15.75" customHeight="1">
      <c r="A33" s="5">
        <f t="shared" si="0"/>
        <v>29</v>
      </c>
      <c r="B33" s="8" t="str">
        <f t="shared" ca="1" si="1"/>
        <v/>
      </c>
      <c r="C33" s="8" t="str">
        <f t="shared" ca="1" si="2"/>
        <v/>
      </c>
      <c r="D33" s="8" t="str">
        <f t="shared" ca="1" si="3"/>
        <v/>
      </c>
      <c r="E33" s="8"/>
      <c r="F33" s="8" t="str">
        <f t="shared" ca="1" si="4"/>
        <v/>
      </c>
      <c r="G33" s="7" t="str">
        <f t="shared" ca="1" si="5"/>
        <v/>
      </c>
      <c r="H33" s="7"/>
      <c r="I33" s="7" t="str">
        <f t="shared" ca="1" si="6"/>
        <v/>
      </c>
      <c r="J33" s="8" t="str">
        <f t="shared" si="7"/>
        <v>Chưa khai báo sheet</v>
      </c>
      <c r="K33" s="8"/>
    </row>
    <row r="34" spans="1:11" ht="15.75" customHeight="1">
      <c r="A34" s="5">
        <f t="shared" si="0"/>
        <v>30</v>
      </c>
      <c r="B34" s="8" t="str">
        <f t="shared" ca="1" si="1"/>
        <v/>
      </c>
      <c r="C34" s="8" t="str">
        <f t="shared" ca="1" si="2"/>
        <v/>
      </c>
      <c r="D34" s="8" t="str">
        <f t="shared" ca="1" si="3"/>
        <v/>
      </c>
      <c r="E34" s="8"/>
      <c r="F34" s="8" t="str">
        <f t="shared" ca="1" si="4"/>
        <v/>
      </c>
      <c r="G34" s="7" t="str">
        <f t="shared" ca="1" si="5"/>
        <v/>
      </c>
      <c r="H34" s="7"/>
      <c r="I34" s="7" t="str">
        <f t="shared" ca="1" si="6"/>
        <v/>
      </c>
      <c r="J34" s="8" t="str">
        <f t="shared" si="7"/>
        <v>Chưa khai báo sheet</v>
      </c>
      <c r="K34" s="8"/>
    </row>
    <row r="35" spans="1:11" ht="15.75" customHeight="1">
      <c r="A35" s="5">
        <f t="shared" si="0"/>
        <v>31</v>
      </c>
      <c r="B35" s="8" t="str">
        <f t="shared" ca="1" si="1"/>
        <v/>
      </c>
      <c r="C35" s="8" t="str">
        <f t="shared" ca="1" si="2"/>
        <v/>
      </c>
      <c r="D35" s="8" t="str">
        <f t="shared" ca="1" si="3"/>
        <v/>
      </c>
      <c r="E35" s="8"/>
      <c r="F35" s="8" t="str">
        <f t="shared" ca="1" si="4"/>
        <v/>
      </c>
      <c r="G35" s="7" t="str">
        <f t="shared" ca="1" si="5"/>
        <v/>
      </c>
      <c r="H35" s="7"/>
      <c r="I35" s="7" t="str">
        <f t="shared" ca="1" si="6"/>
        <v/>
      </c>
      <c r="J35" s="8" t="str">
        <f t="shared" si="7"/>
        <v>Chưa khai báo sheet</v>
      </c>
      <c r="K35" s="8"/>
    </row>
    <row r="36" spans="1:11" ht="15.75" customHeight="1">
      <c r="A36" s="5">
        <f t="shared" si="0"/>
        <v>32</v>
      </c>
      <c r="B36" s="8" t="str">
        <f t="shared" ca="1" si="1"/>
        <v/>
      </c>
      <c r="C36" s="8" t="str">
        <f t="shared" ca="1" si="2"/>
        <v/>
      </c>
      <c r="D36" s="8" t="str">
        <f t="shared" ca="1" si="3"/>
        <v/>
      </c>
      <c r="E36" s="8"/>
      <c r="F36" s="8" t="str">
        <f t="shared" ca="1" si="4"/>
        <v/>
      </c>
      <c r="G36" s="7" t="str">
        <f t="shared" ca="1" si="5"/>
        <v/>
      </c>
      <c r="H36" s="7"/>
      <c r="I36" s="7" t="str">
        <f t="shared" ca="1" si="6"/>
        <v/>
      </c>
      <c r="J36" s="8" t="str">
        <f t="shared" si="7"/>
        <v>Chưa khai báo sheet</v>
      </c>
      <c r="K36" s="8"/>
    </row>
    <row r="37" spans="1:11" ht="15.75" customHeight="1">
      <c r="A37" s="5">
        <f t="shared" si="0"/>
        <v>33</v>
      </c>
      <c r="B37" s="8" t="str">
        <f t="shared" ca="1" si="1"/>
        <v/>
      </c>
      <c r="C37" s="8" t="str">
        <f t="shared" ca="1" si="2"/>
        <v/>
      </c>
      <c r="D37" s="8" t="str">
        <f t="shared" ca="1" si="3"/>
        <v/>
      </c>
      <c r="E37" s="8"/>
      <c r="F37" s="8" t="str">
        <f t="shared" ca="1" si="4"/>
        <v/>
      </c>
      <c r="G37" s="7" t="str">
        <f t="shared" ca="1" si="5"/>
        <v/>
      </c>
      <c r="H37" s="7"/>
      <c r="I37" s="7" t="str">
        <f t="shared" ca="1" si="6"/>
        <v/>
      </c>
      <c r="J37" s="8" t="str">
        <f t="shared" si="7"/>
        <v>Chưa khai báo sheet</v>
      </c>
      <c r="K37" s="8"/>
    </row>
    <row r="38" spans="1:11" ht="15.75" customHeight="1">
      <c r="A38" s="5">
        <f t="shared" si="0"/>
        <v>34</v>
      </c>
      <c r="B38" s="8" t="str">
        <f t="shared" ca="1" si="1"/>
        <v/>
      </c>
      <c r="C38" s="8" t="str">
        <f t="shared" ca="1" si="2"/>
        <v/>
      </c>
      <c r="D38" s="8" t="str">
        <f t="shared" ca="1" si="3"/>
        <v/>
      </c>
      <c r="E38" s="8"/>
      <c r="F38" s="8" t="str">
        <f t="shared" ca="1" si="4"/>
        <v/>
      </c>
      <c r="G38" s="7" t="str">
        <f t="shared" ca="1" si="5"/>
        <v/>
      </c>
      <c r="H38" s="7"/>
      <c r="I38" s="7" t="str">
        <f t="shared" ca="1" si="6"/>
        <v/>
      </c>
      <c r="J38" s="8" t="str">
        <f t="shared" si="7"/>
        <v>Chưa khai báo sheet</v>
      </c>
      <c r="K38" s="8"/>
    </row>
    <row r="39" spans="1:11" ht="15.75" customHeight="1">
      <c r="A39" s="5">
        <f t="shared" si="0"/>
        <v>35</v>
      </c>
      <c r="B39" s="8" t="str">
        <f t="shared" ca="1" si="1"/>
        <v/>
      </c>
      <c r="C39" s="8" t="str">
        <f t="shared" ca="1" si="2"/>
        <v/>
      </c>
      <c r="D39" s="8" t="str">
        <f t="shared" ca="1" si="3"/>
        <v/>
      </c>
      <c r="E39" s="8"/>
      <c r="F39" s="8" t="str">
        <f t="shared" ca="1" si="4"/>
        <v/>
      </c>
      <c r="G39" s="7" t="str">
        <f t="shared" ca="1" si="5"/>
        <v/>
      </c>
      <c r="H39" s="7"/>
      <c r="I39" s="7" t="str">
        <f t="shared" ca="1" si="6"/>
        <v/>
      </c>
      <c r="J39" s="8" t="str">
        <f t="shared" si="7"/>
        <v>Chưa khai báo sheet</v>
      </c>
      <c r="K39" s="8"/>
    </row>
    <row r="40" spans="1:11" ht="15.75" customHeight="1">
      <c r="A40" s="5">
        <f t="shared" si="0"/>
        <v>36</v>
      </c>
      <c r="B40" s="8" t="str">
        <f t="shared" ca="1" si="1"/>
        <v/>
      </c>
      <c r="C40" s="8" t="str">
        <f t="shared" ca="1" si="2"/>
        <v/>
      </c>
      <c r="D40" s="8" t="str">
        <f t="shared" ca="1" si="3"/>
        <v/>
      </c>
      <c r="E40" s="8"/>
      <c r="F40" s="8" t="str">
        <f t="shared" ca="1" si="4"/>
        <v/>
      </c>
      <c r="G40" s="7" t="str">
        <f t="shared" ca="1" si="5"/>
        <v/>
      </c>
      <c r="H40" s="7"/>
      <c r="I40" s="7" t="str">
        <f t="shared" ca="1" si="6"/>
        <v/>
      </c>
      <c r="J40" s="8" t="str">
        <f t="shared" si="7"/>
        <v>Chưa khai báo sheet</v>
      </c>
      <c r="K40" s="8"/>
    </row>
    <row r="41" spans="1:11" ht="15.75" customHeight="1">
      <c r="A41" s="5">
        <f t="shared" si="0"/>
        <v>37</v>
      </c>
      <c r="B41" s="8" t="str">
        <f t="shared" ca="1" si="1"/>
        <v/>
      </c>
      <c r="C41" s="8" t="str">
        <f t="shared" ca="1" si="2"/>
        <v/>
      </c>
      <c r="D41" s="8" t="str">
        <f t="shared" ca="1" si="3"/>
        <v/>
      </c>
      <c r="E41" s="8"/>
      <c r="F41" s="8" t="str">
        <f t="shared" ca="1" si="4"/>
        <v/>
      </c>
      <c r="G41" s="7" t="str">
        <f t="shared" ca="1" si="5"/>
        <v/>
      </c>
      <c r="H41" s="7"/>
      <c r="I41" s="7" t="str">
        <f t="shared" ca="1" si="6"/>
        <v/>
      </c>
      <c r="J41" s="8" t="str">
        <f t="shared" si="7"/>
        <v>Chưa khai báo sheet</v>
      </c>
      <c r="K41" s="8"/>
    </row>
    <row r="42" spans="1:11" ht="15.75" customHeight="1">
      <c r="A42" s="5">
        <f t="shared" si="0"/>
        <v>38</v>
      </c>
      <c r="B42" s="8" t="str">
        <f t="shared" ca="1" si="1"/>
        <v/>
      </c>
      <c r="C42" s="8" t="str">
        <f t="shared" ca="1" si="2"/>
        <v/>
      </c>
      <c r="D42" s="8" t="str">
        <f t="shared" ca="1" si="3"/>
        <v/>
      </c>
      <c r="E42" s="8"/>
      <c r="F42" s="8" t="str">
        <f t="shared" ca="1" si="4"/>
        <v/>
      </c>
      <c r="G42" s="7" t="str">
        <f t="shared" ca="1" si="5"/>
        <v/>
      </c>
      <c r="H42" s="7"/>
      <c r="I42" s="7" t="str">
        <f t="shared" ca="1" si="6"/>
        <v/>
      </c>
      <c r="J42" s="8" t="str">
        <f t="shared" si="7"/>
        <v>Chưa khai báo sheet</v>
      </c>
      <c r="K42" s="8"/>
    </row>
    <row r="43" spans="1:11" ht="15.75" customHeight="1">
      <c r="A43" s="5">
        <f t="shared" si="0"/>
        <v>39</v>
      </c>
      <c r="B43" s="8" t="str">
        <f t="shared" ca="1" si="1"/>
        <v/>
      </c>
      <c r="C43" s="8" t="str">
        <f t="shared" ca="1" si="2"/>
        <v/>
      </c>
      <c r="D43" s="8" t="str">
        <f t="shared" ca="1" si="3"/>
        <v/>
      </c>
      <c r="E43" s="8"/>
      <c r="F43" s="8" t="str">
        <f t="shared" ca="1" si="4"/>
        <v/>
      </c>
      <c r="G43" s="7" t="str">
        <f t="shared" ca="1" si="5"/>
        <v/>
      </c>
      <c r="H43" s="7"/>
      <c r="I43" s="7" t="str">
        <f t="shared" ca="1" si="6"/>
        <v/>
      </c>
      <c r="J43" s="8" t="str">
        <f t="shared" si="7"/>
        <v>Chưa khai báo sheet</v>
      </c>
      <c r="K43" s="8"/>
    </row>
    <row r="44" spans="1:11" ht="15.75" customHeight="1">
      <c r="A44" s="5">
        <f t="shared" si="0"/>
        <v>40</v>
      </c>
      <c r="B44" s="8" t="str">
        <f t="shared" ca="1" si="1"/>
        <v/>
      </c>
      <c r="C44" s="8" t="str">
        <f t="shared" ca="1" si="2"/>
        <v/>
      </c>
      <c r="D44" s="8" t="str">
        <f t="shared" ca="1" si="3"/>
        <v/>
      </c>
      <c r="E44" s="8"/>
      <c r="F44" s="8" t="str">
        <f t="shared" ca="1" si="4"/>
        <v/>
      </c>
      <c r="G44" s="7" t="str">
        <f t="shared" ca="1" si="5"/>
        <v/>
      </c>
      <c r="H44" s="7"/>
      <c r="I44" s="7" t="str">
        <f t="shared" ca="1" si="6"/>
        <v/>
      </c>
      <c r="J44" s="8" t="str">
        <f t="shared" si="7"/>
        <v>Chưa khai báo sheet</v>
      </c>
      <c r="K44" s="8"/>
    </row>
    <row r="45" spans="1:11" ht="15.75" customHeight="1"/>
    <row r="46" spans="1:11" ht="15.75" customHeight="1"/>
    <row r="47" spans="1:11" ht="15.75" customHeight="1"/>
    <row r="48" spans="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sheetData>
  <mergeCells count="4">
    <mergeCell ref="A2:K2"/>
    <mergeCell ref="M1:P1"/>
    <mergeCell ref="A1:K1"/>
    <mergeCell ref="A3:K3"/>
  </mergeCells>
  <conditionalFormatting sqref="J5:J44">
    <cfRule type="expression" dxfId="10" priority="1">
      <formula>$J5="Đã liên kết"</formula>
    </cfRule>
    <cfRule type="expression" dxfId="9" priority="2">
      <formula>$J5="Chưa lấy được điểm"</formula>
    </cfRule>
    <cfRule type="expression" dxfId="8" priority="3">
      <formula>$J5="Chưa khai báo sheet"</formula>
    </cfRule>
  </conditionalFormatting>
  <dataValidations count="1">
    <dataValidation type="decimal" allowBlank="1" sqref="H5:H44">
      <formula1>0</formula1>
      <formula2>10</formula2>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selection sqref="A1:F1"/>
    </sheetView>
  </sheetViews>
  <sheetFormatPr defaultColWidth="12.59765625" defaultRowHeight="15" customHeight="1"/>
  <cols>
    <col min="1" max="1" width="8" style="16" customWidth="1"/>
    <col min="2" max="2" width="52" style="16" customWidth="1"/>
    <col min="3" max="4" width="13" style="16" customWidth="1"/>
    <col min="5" max="5" width="30" style="16" customWidth="1"/>
    <col min="6" max="6" width="25" style="16" customWidth="1"/>
    <col min="7" max="26" width="8.59765625" style="16" customWidth="1"/>
  </cols>
  <sheetData>
    <row r="1" spans="1:6" ht="33.75" customHeight="1">
      <c r="A1" s="20" t="s">
        <v>21</v>
      </c>
      <c r="B1" s="18"/>
      <c r="C1" s="18"/>
      <c r="D1" s="18"/>
      <c r="E1" s="18"/>
      <c r="F1" s="18"/>
    </row>
    <row r="2" spans="1:6" ht="13.8">
      <c r="A2" s="9" t="s">
        <v>22</v>
      </c>
      <c r="B2" s="10"/>
      <c r="C2" s="11"/>
      <c r="D2" s="9" t="s">
        <v>23</v>
      </c>
      <c r="E2" s="10"/>
      <c r="F2" s="11"/>
    </row>
    <row r="3" spans="1:6" ht="13.8">
      <c r="A3" s="9" t="s">
        <v>9</v>
      </c>
      <c r="B3" s="10"/>
      <c r="C3" s="11"/>
      <c r="D3" s="9" t="s">
        <v>24</v>
      </c>
      <c r="E3" s="10" t="s">
        <v>25</v>
      </c>
      <c r="F3" s="11"/>
    </row>
    <row r="5" spans="1:6" ht="24" customHeight="1">
      <c r="A5" s="22" t="s">
        <v>26</v>
      </c>
      <c r="B5" s="18"/>
      <c r="C5" s="18"/>
      <c r="D5" s="18"/>
      <c r="E5" s="18"/>
      <c r="F5" s="18"/>
    </row>
    <row r="7" spans="1:6" ht="27.75" customHeight="1">
      <c r="A7" s="3" t="s">
        <v>6</v>
      </c>
      <c r="B7" s="3" t="s">
        <v>27</v>
      </c>
      <c r="C7" s="3" t="s">
        <v>28</v>
      </c>
      <c r="D7" s="3" t="s">
        <v>29</v>
      </c>
      <c r="E7" s="3" t="s">
        <v>30</v>
      </c>
      <c r="F7" s="3" t="s">
        <v>31</v>
      </c>
    </row>
    <row r="8" spans="1:6" ht="61.5" customHeight="1">
      <c r="A8" s="12">
        <v>1</v>
      </c>
      <c r="B8" s="13" t="s">
        <v>32</v>
      </c>
      <c r="C8" s="14">
        <v>1.2</v>
      </c>
      <c r="D8" s="14"/>
      <c r="E8" s="13"/>
      <c r="F8" s="13"/>
    </row>
    <row r="9" spans="1:6" ht="61.5" customHeight="1">
      <c r="A9" s="12">
        <v>2</v>
      </c>
      <c r="B9" s="13" t="s">
        <v>33</v>
      </c>
      <c r="C9" s="14">
        <v>0.4</v>
      </c>
      <c r="D9" s="14"/>
      <c r="E9" s="13"/>
      <c r="F9" s="13"/>
    </row>
    <row r="10" spans="1:6" ht="61.5" customHeight="1">
      <c r="A10" s="12">
        <v>3</v>
      </c>
      <c r="B10" s="13" t="s">
        <v>34</v>
      </c>
      <c r="C10" s="14">
        <v>0.8</v>
      </c>
      <c r="D10" s="14"/>
      <c r="E10" s="13"/>
      <c r="F10" s="13"/>
    </row>
    <row r="11" spans="1:6" ht="61.5" customHeight="1">
      <c r="A11" s="12">
        <v>4</v>
      </c>
      <c r="B11" s="13" t="s">
        <v>35</v>
      </c>
      <c r="C11" s="14">
        <v>1</v>
      </c>
      <c r="D11" s="14"/>
      <c r="E11" s="13"/>
      <c r="F11" s="13"/>
    </row>
    <row r="12" spans="1:6" ht="61.5" customHeight="1">
      <c r="A12" s="12">
        <v>5</v>
      </c>
      <c r="B12" s="13" t="s">
        <v>36</v>
      </c>
      <c r="C12" s="14">
        <v>0.7</v>
      </c>
      <c r="D12" s="14"/>
      <c r="E12" s="13"/>
      <c r="F12" s="13"/>
    </row>
    <row r="13" spans="1:6" ht="61.5" customHeight="1">
      <c r="A13" s="12">
        <v>6</v>
      </c>
      <c r="B13" s="13" t="s">
        <v>37</v>
      </c>
      <c r="C13" s="14">
        <v>0.6</v>
      </c>
      <c r="D13" s="14"/>
      <c r="E13" s="13"/>
      <c r="F13" s="13"/>
    </row>
    <row r="14" spans="1:6" ht="61.5" customHeight="1">
      <c r="A14" s="12">
        <v>7</v>
      </c>
      <c r="B14" s="13" t="s">
        <v>38</v>
      </c>
      <c r="C14" s="14">
        <v>1.5</v>
      </c>
      <c r="D14" s="14"/>
      <c r="E14" s="13"/>
      <c r="F14" s="13"/>
    </row>
    <row r="15" spans="1:6" ht="61.5" customHeight="1">
      <c r="A15" s="12">
        <v>8</v>
      </c>
      <c r="B15" s="13" t="s">
        <v>39</v>
      </c>
      <c r="C15" s="14">
        <v>0.4</v>
      </c>
      <c r="D15" s="14"/>
      <c r="E15" s="13"/>
      <c r="F15" s="13"/>
    </row>
    <row r="16" spans="1:6" ht="61.5" customHeight="1">
      <c r="A16" s="12">
        <v>9</v>
      </c>
      <c r="B16" s="13" t="s">
        <v>40</v>
      </c>
      <c r="C16" s="14">
        <v>0.8</v>
      </c>
      <c r="D16" s="14"/>
      <c r="E16" s="13"/>
      <c r="F16" s="13"/>
    </row>
    <row r="17" spans="1:6" ht="61.5" customHeight="1">
      <c r="A17" s="12">
        <v>10</v>
      </c>
      <c r="B17" s="13" t="s">
        <v>41</v>
      </c>
      <c r="C17" s="14">
        <v>1</v>
      </c>
      <c r="D17" s="14"/>
      <c r="E17" s="13"/>
      <c r="F17" s="13"/>
    </row>
    <row r="18" spans="1:6" ht="61.5" customHeight="1">
      <c r="A18" s="12">
        <v>11</v>
      </c>
      <c r="B18" s="13" t="s">
        <v>42</v>
      </c>
      <c r="C18" s="14">
        <v>0.5</v>
      </c>
      <c r="D18" s="14"/>
      <c r="E18" s="13"/>
      <c r="F18" s="13"/>
    </row>
    <row r="19" spans="1:6" ht="61.5" customHeight="1">
      <c r="A19" s="12">
        <v>12</v>
      </c>
      <c r="B19" s="13" t="s">
        <v>43</v>
      </c>
      <c r="C19" s="14">
        <v>1.1000000000000001</v>
      </c>
      <c r="D19" s="14"/>
      <c r="E19" s="13"/>
      <c r="F19" s="13"/>
    </row>
    <row r="20" spans="1:6" ht="15.75" customHeight="1"/>
    <row r="21" spans="1:6" ht="25.5" customHeight="1">
      <c r="A21" s="23" t="s">
        <v>44</v>
      </c>
      <c r="B21" s="18"/>
      <c r="C21" s="18"/>
      <c r="D21" s="15">
        <f>SUM(D8:D19)</f>
        <v>0</v>
      </c>
      <c r="E21" s="23" t="str">
        <f>IF(D21=10,"Hoàn thành xuất sắc",IF(D21&gt;=8,"Tốt",IF(D21&gt;=6.5,"Đạt","Cần bổ sung")))</f>
        <v>Cần bổ sung</v>
      </c>
      <c r="F21" s="18"/>
    </row>
    <row r="22" spans="1:6" ht="15.75" customHeight="1"/>
    <row r="23" spans="1:6" ht="33.75" customHeight="1">
      <c r="A23" s="17" t="s">
        <v>45</v>
      </c>
      <c r="B23" s="18"/>
      <c r="C23" s="18"/>
      <c r="D23" s="18"/>
      <c r="E23" s="18"/>
      <c r="F23" s="18"/>
    </row>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F1"/>
    <mergeCell ref="A23:F23"/>
    <mergeCell ref="A5:F5"/>
    <mergeCell ref="A21:C21"/>
    <mergeCell ref="E21:F21"/>
  </mergeCells>
  <conditionalFormatting sqref="D8:D19">
    <cfRule type="expression" dxfId="7" priority="1">
      <formula>D8&gt;C8</formula>
    </cfRule>
    <cfRule type="expression" dxfId="6" priority="2">
      <formula>D8&lt;0</formula>
    </cfRule>
  </conditionalFormatting>
  <conditionalFormatting sqref="D21">
    <cfRule type="cellIs" dxfId="5" priority="3" operator="greaterThanOrEqual">
      <formula>8</formula>
    </cfRule>
    <cfRule type="cellIs" dxfId="4" priority="4" operator="lessThan">
      <formula>6.5</formula>
    </cfRule>
  </conditionalFormatting>
  <dataValidations count="1">
    <dataValidation type="decimal" allowBlank="1" sqref="D8:D19">
      <formula1>0</formula1>
      <formula2>1.5</formula2>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tabSelected="1" topLeftCell="A22" zoomScale="85" zoomScaleNormal="85" workbookViewId="0">
      <selection activeCell="H38" sqref="H38"/>
    </sheetView>
  </sheetViews>
  <sheetFormatPr defaultColWidth="12.59765625" defaultRowHeight="15" customHeight="1"/>
  <cols>
    <col min="1" max="1" width="8" style="16" customWidth="1"/>
    <col min="2" max="2" width="52" style="16" customWidth="1"/>
    <col min="3" max="4" width="13" style="16" customWidth="1"/>
    <col min="5" max="5" width="30" style="16" customWidth="1"/>
    <col min="6" max="6" width="25" style="16" customWidth="1"/>
    <col min="7" max="26" width="8.59765625" style="16" customWidth="1"/>
  </cols>
  <sheetData>
    <row r="1" spans="1:6" ht="33.75" customHeight="1">
      <c r="A1" s="20" t="s">
        <v>21</v>
      </c>
      <c r="B1" s="18"/>
      <c r="C1" s="18"/>
      <c r="D1" s="18"/>
      <c r="E1" s="18"/>
      <c r="F1" s="18"/>
    </row>
    <row r="2" spans="1:6" ht="13.8">
      <c r="A2" s="9" t="s">
        <v>22</v>
      </c>
      <c r="B2" s="10" t="s">
        <v>46</v>
      </c>
      <c r="C2" s="11"/>
      <c r="D2" s="9" t="s">
        <v>23</v>
      </c>
      <c r="E2" s="10" t="s">
        <v>47</v>
      </c>
      <c r="F2" s="11"/>
    </row>
    <row r="3" spans="1:6" ht="13.8">
      <c r="A3" s="9" t="s">
        <v>9</v>
      </c>
      <c r="B3" s="10" t="s">
        <v>48</v>
      </c>
      <c r="C3" s="11"/>
      <c r="D3" s="9" t="s">
        <v>24</v>
      </c>
      <c r="E3" s="10" t="s">
        <v>25</v>
      </c>
      <c r="F3" s="11"/>
    </row>
    <row r="5" spans="1:6" ht="24" customHeight="1">
      <c r="A5" s="22" t="s">
        <v>26</v>
      </c>
      <c r="B5" s="18"/>
      <c r="C5" s="18"/>
      <c r="D5" s="18"/>
      <c r="E5" s="18"/>
      <c r="F5" s="18"/>
    </row>
    <row r="7" spans="1:6" ht="27.75" customHeight="1">
      <c r="A7" s="3" t="s">
        <v>6</v>
      </c>
      <c r="B7" s="3" t="s">
        <v>27</v>
      </c>
      <c r="C7" s="3" t="s">
        <v>28</v>
      </c>
      <c r="D7" s="3" t="s">
        <v>29</v>
      </c>
      <c r="E7" s="3" t="s">
        <v>30</v>
      </c>
      <c r="F7" s="3" t="s">
        <v>31</v>
      </c>
    </row>
    <row r="8" spans="1:6" ht="82.8">
      <c r="A8" s="12">
        <v>1</v>
      </c>
      <c r="B8" s="13" t="s">
        <v>32</v>
      </c>
      <c r="C8" s="14">
        <v>1.2</v>
      </c>
      <c r="D8" s="14">
        <v>1.2</v>
      </c>
      <c r="E8" s="13" t="s">
        <v>49</v>
      </c>
      <c r="F8" s="13"/>
    </row>
    <row r="9" spans="1:6" ht="55.2">
      <c r="A9" s="12">
        <v>2</v>
      </c>
      <c r="B9" s="13" t="s">
        <v>33</v>
      </c>
      <c r="C9" s="14">
        <v>0.4</v>
      </c>
      <c r="D9" s="14">
        <v>0.4</v>
      </c>
      <c r="E9" s="13" t="s">
        <v>50</v>
      </c>
      <c r="F9" s="13"/>
    </row>
    <row r="10" spans="1:6" ht="96.6">
      <c r="A10" s="12">
        <v>3</v>
      </c>
      <c r="B10" s="13" t="s">
        <v>34</v>
      </c>
      <c r="C10" s="14">
        <v>0.8</v>
      </c>
      <c r="D10" s="14">
        <v>0.8</v>
      </c>
      <c r="E10" s="13" t="s">
        <v>51</v>
      </c>
      <c r="F10" s="13"/>
    </row>
    <row r="11" spans="1:6" ht="96.6">
      <c r="A11" s="12">
        <v>4</v>
      </c>
      <c r="B11" s="13" t="s">
        <v>35</v>
      </c>
      <c r="C11" s="14">
        <v>1</v>
      </c>
      <c r="D11" s="14">
        <v>1</v>
      </c>
      <c r="E11" s="13" t="s">
        <v>52</v>
      </c>
      <c r="F11" s="13"/>
    </row>
    <row r="12" spans="1:6" ht="69">
      <c r="A12" s="12">
        <v>5</v>
      </c>
      <c r="B12" s="13" t="s">
        <v>36</v>
      </c>
      <c r="C12" s="14">
        <v>0.7</v>
      </c>
      <c r="D12" s="14">
        <v>0.7</v>
      </c>
      <c r="E12" s="13" t="s">
        <v>53</v>
      </c>
      <c r="F12" s="13"/>
    </row>
    <row r="13" spans="1:6" ht="82.8">
      <c r="A13" s="12">
        <v>6</v>
      </c>
      <c r="B13" s="13" t="s">
        <v>37</v>
      </c>
      <c r="C13" s="14">
        <v>0.6</v>
      </c>
      <c r="D13" s="14">
        <v>0.6</v>
      </c>
      <c r="E13" s="13" t="s">
        <v>54</v>
      </c>
      <c r="F13" s="13"/>
    </row>
    <row r="14" spans="1:6" ht="96.6">
      <c r="A14" s="12">
        <v>7</v>
      </c>
      <c r="B14" s="13" t="s">
        <v>38</v>
      </c>
      <c r="C14" s="14">
        <v>1.5</v>
      </c>
      <c r="D14" s="14">
        <v>1.5</v>
      </c>
      <c r="E14" s="13" t="s">
        <v>55</v>
      </c>
      <c r="F14" s="13"/>
    </row>
    <row r="15" spans="1:6" ht="82.8">
      <c r="A15" s="12">
        <v>8</v>
      </c>
      <c r="B15" s="13" t="s">
        <v>39</v>
      </c>
      <c r="C15" s="14">
        <v>0.4</v>
      </c>
      <c r="D15" s="14">
        <v>0.4</v>
      </c>
      <c r="E15" s="13" t="s">
        <v>56</v>
      </c>
      <c r="F15" s="13"/>
    </row>
    <row r="16" spans="1:6" ht="96.6">
      <c r="A16" s="12">
        <v>9</v>
      </c>
      <c r="B16" s="13" t="s">
        <v>40</v>
      </c>
      <c r="C16" s="14">
        <v>0.8</v>
      </c>
      <c r="D16" s="14">
        <v>0.8</v>
      </c>
      <c r="E16" s="13" t="s">
        <v>57</v>
      </c>
      <c r="F16" s="13"/>
    </row>
    <row r="17" spans="1:6" ht="96.6">
      <c r="A17" s="12">
        <v>10</v>
      </c>
      <c r="B17" s="13" t="s">
        <v>41</v>
      </c>
      <c r="C17" s="14">
        <v>1</v>
      </c>
      <c r="D17" s="14">
        <v>1</v>
      </c>
      <c r="E17" s="13" t="s">
        <v>58</v>
      </c>
      <c r="F17" s="13"/>
    </row>
    <row r="18" spans="1:6" ht="55.2">
      <c r="A18" s="12">
        <v>11</v>
      </c>
      <c r="B18" s="13" t="s">
        <v>42</v>
      </c>
      <c r="C18" s="14">
        <v>0.5</v>
      </c>
      <c r="D18" s="14">
        <v>0.5</v>
      </c>
      <c r="E18" s="13" t="s">
        <v>59</v>
      </c>
      <c r="F18" s="13"/>
    </row>
    <row r="19" spans="1:6" ht="82.8">
      <c r="A19" s="12">
        <v>12</v>
      </c>
      <c r="B19" s="13" t="s">
        <v>43</v>
      </c>
      <c r="C19" s="14">
        <v>1.1000000000000001</v>
      </c>
      <c r="D19" s="14">
        <v>1.1000000000000001</v>
      </c>
      <c r="E19" s="13" t="s">
        <v>60</v>
      </c>
      <c r="F19" s="13"/>
    </row>
    <row r="20" spans="1:6" ht="15.75" customHeight="1"/>
    <row r="21" spans="1:6" ht="25.5" customHeight="1">
      <c r="A21" s="23" t="s">
        <v>44</v>
      </c>
      <c r="B21" s="18"/>
      <c r="C21" s="18"/>
      <c r="D21" s="15">
        <f>SUM(D8:D19)</f>
        <v>10</v>
      </c>
      <c r="E21" s="23" t="str">
        <f>IF(D21=10,"Hoàn thành xuất sắc",IF(D21&gt;=8,"Tốt",IF(D21&gt;=6.5,"Đạt","Cần bổ sung")))</f>
        <v>Hoàn thành xuất sắc</v>
      </c>
      <c r="F21" s="18"/>
    </row>
    <row r="22" spans="1:6" ht="15.75" customHeight="1"/>
    <row r="23" spans="1:6" ht="33.75" customHeight="1">
      <c r="A23" s="17" t="s">
        <v>45</v>
      </c>
      <c r="B23" s="18"/>
      <c r="C23" s="18"/>
      <c r="D23" s="18"/>
      <c r="E23" s="18"/>
      <c r="F23" s="18"/>
    </row>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F1"/>
    <mergeCell ref="A23:F23"/>
    <mergeCell ref="A5:F5"/>
    <mergeCell ref="A21:C21"/>
    <mergeCell ref="E21:F21"/>
  </mergeCells>
  <conditionalFormatting sqref="D8:D19">
    <cfRule type="expression" dxfId="3" priority="1">
      <formula>D8&gt;C8</formula>
    </cfRule>
    <cfRule type="expression" dxfId="2" priority="2">
      <formula>D8&lt;0</formula>
    </cfRule>
  </conditionalFormatting>
  <conditionalFormatting sqref="D21">
    <cfRule type="cellIs" dxfId="1" priority="3" operator="greaterThanOrEqual">
      <formula>8</formula>
    </cfRule>
    <cfRule type="cellIs" dxfId="0" priority="4" operator="lessThan">
      <formula>6.5</formula>
    </cfRule>
  </conditionalFormatting>
  <dataValidations count="1">
    <dataValidation type="decimal" allowBlank="1" sqref="D8:D19">
      <formula1>0</formula1>
      <formula2>1.5</formula2>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TongHop</vt:lpstr>
      <vt:lpstr>Template</vt:lpstr>
      <vt:lpstr>SE170001_NguyenVanA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COMPUTER</cp:lastModifiedBy>
  <dcterms:created xsi:type="dcterms:W3CDTF">2026-05-20T04:05:42Z</dcterms:created>
  <dcterms:modified xsi:type="dcterms:W3CDTF">2026-05-20T04:31:33Z</dcterms:modified>
</cp:coreProperties>
</file>